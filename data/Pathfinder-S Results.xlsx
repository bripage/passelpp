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Brian\Documents\GitHub\passelpp\data\"/>
    </mc:Choice>
  </mc:AlternateContent>
  <xr:revisionPtr revIDLastSave="0" documentId="13_ncr:1_{AEBB1A03-F542-43CF-A7A2-C3DF64B3603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arts" sheetId="1" r:id="rId1"/>
    <sheet name="Synthetic" sheetId="7" r:id="rId2"/>
    <sheet name="covtype" sheetId="2" r:id="rId3"/>
    <sheet name="webspam" sheetId="3" r:id="rId4"/>
    <sheet name="rcv1" sheetId="4" r:id="rId5"/>
    <sheet name="news20" sheetId="5" r:id="rId6"/>
    <sheet name="kdd1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1" i="6" l="1"/>
  <c r="L31" i="6"/>
  <c r="K31" i="6"/>
  <c r="J31" i="6"/>
  <c r="K12" i="6"/>
  <c r="J12" i="6"/>
  <c r="I12" i="6"/>
  <c r="H12" i="6" s="1"/>
  <c r="G12" i="6" s="1"/>
  <c r="F12" i="6" s="1"/>
  <c r="E12" i="6" s="1"/>
  <c r="D12" i="6"/>
  <c r="C12" i="6"/>
  <c r="B12" i="6"/>
  <c r="Y11" i="6"/>
  <c r="V11" i="6"/>
  <c r="R11" i="6"/>
  <c r="Q11" i="6"/>
  <c r="M11" i="6"/>
  <c r="B7" i="6"/>
  <c r="B8" i="6" s="1"/>
  <c r="B9" i="6" s="1"/>
  <c r="B10" i="6" s="1"/>
  <c r="B11" i="6" s="1"/>
  <c r="K6" i="6"/>
  <c r="J6" i="6"/>
  <c r="I6" i="6"/>
  <c r="H6" i="6"/>
  <c r="G6" i="6"/>
  <c r="F6" i="6"/>
  <c r="E6" i="6"/>
  <c r="D6" i="6"/>
  <c r="C6" i="6"/>
  <c r="B6" i="6"/>
  <c r="X11" i="6" s="1"/>
  <c r="Y11" i="5"/>
  <c r="V11" i="5"/>
  <c r="M11" i="5"/>
  <c r="M11" i="4"/>
  <c r="AA9" i="4"/>
  <c r="AB10" i="3"/>
  <c r="Z10" i="3"/>
  <c r="I29" i="1"/>
  <c r="J10" i="1"/>
  <c r="K10" i="1" s="1"/>
  <c r="L10" i="1" s="1"/>
  <c r="M10" i="1" s="1"/>
  <c r="N10" i="1" s="1"/>
  <c r="E10" i="1"/>
  <c r="D10" i="1"/>
  <c r="D3" i="1"/>
  <c r="E22" i="1" s="1"/>
  <c r="P10" i="1" l="1"/>
  <c r="O10" i="1"/>
  <c r="Z11" i="6"/>
  <c r="S11" i="6"/>
  <c r="T11" i="6"/>
  <c r="U11" i="6"/>
  <c r="O11" i="6"/>
  <c r="W11" i="6"/>
  <c r="P11" i="6"/>
</calcChain>
</file>

<file path=xl/sharedStrings.xml><?xml version="1.0" encoding="utf-8"?>
<sst xmlns="http://schemas.openxmlformats.org/spreadsheetml/2006/main" count="48" uniqueCount="21">
  <si>
    <t>nnz per sample</t>
  </si>
  <si>
    <t>Train</t>
  </si>
  <si>
    <t>Test</t>
  </si>
  <si>
    <t>kdd12</t>
  </si>
  <si>
    <t>samples</t>
  </si>
  <si>
    <t>non-zeros</t>
  </si>
  <si>
    <t>B</t>
  </si>
  <si>
    <t>KB</t>
  </si>
  <si>
    <t>MB</t>
  </si>
  <si>
    <t>GB</t>
  </si>
  <si>
    <t>TB</t>
  </si>
  <si>
    <t>Min Nodes</t>
  </si>
  <si>
    <t>Passel on Pathinder</t>
  </si>
  <si>
    <t>Passel* on Pathinder</t>
  </si>
  <si>
    <t>Time for 10 Epochs</t>
  </si>
  <si>
    <t>Accuracy</t>
  </si>
  <si>
    <t>Convergence Accuracy</t>
  </si>
  <si>
    <t>Features</t>
  </si>
  <si>
    <t>Non-zeros Per Sample</t>
  </si>
  <si>
    <t>Samples</t>
  </si>
  <si>
    <t>Total Non-Zeros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</si>
</sst>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4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3" fontId="1" fillId="0" borderId="0" xfId="0" applyNumberFormat="1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P30"/>
  <sheetViews>
    <sheetView workbookViewId="0"/>
  </sheetViews>
  <sheetFormatPr defaultColWidth="12.5703125" defaultRowHeight="15.75" customHeight="1" x14ac:dyDescent="0.2"/>
  <sheetData>
    <row r="3" spans="1:16" x14ac:dyDescent="0.2">
      <c r="C3" s="1" t="s">
        <v>0</v>
      </c>
      <c r="D3" s="2">
        <f>C10/B10</f>
        <v>10</v>
      </c>
    </row>
    <row r="7" spans="1:16" x14ac:dyDescent="0.2">
      <c r="B7" s="8" t="s">
        <v>1</v>
      </c>
      <c r="C7" s="9"/>
      <c r="F7" s="8" t="s">
        <v>2</v>
      </c>
      <c r="G7" s="9"/>
    </row>
    <row r="9" spans="1:16" x14ac:dyDescent="0.2">
      <c r="A9" s="1" t="s">
        <v>3</v>
      </c>
      <c r="B9" s="1" t="s">
        <v>4</v>
      </c>
      <c r="C9" s="1" t="s">
        <v>5</v>
      </c>
      <c r="F9" s="1" t="s">
        <v>4</v>
      </c>
      <c r="G9" s="1" t="s">
        <v>5</v>
      </c>
      <c r="K9" s="1" t="s">
        <v>6</v>
      </c>
      <c r="L9" s="1" t="s">
        <v>7</v>
      </c>
      <c r="M9" s="1" t="s">
        <v>8</v>
      </c>
      <c r="N9" s="1" t="s">
        <v>9</v>
      </c>
      <c r="O9" s="1" t="s">
        <v>10</v>
      </c>
      <c r="P9" s="1" t="s">
        <v>11</v>
      </c>
    </row>
    <row r="10" spans="1:16" x14ac:dyDescent="0.2">
      <c r="A10" s="1">
        <v>1</v>
      </c>
      <c r="B10" s="1">
        <v>134675194</v>
      </c>
      <c r="C10" s="1">
        <v>1346751940</v>
      </c>
      <c r="D10" s="2">
        <f t="shared" ref="D10:E10" si="0">B10/32</f>
        <v>4208599.8125</v>
      </c>
      <c r="E10" s="2">
        <f t="shared" si="0"/>
        <v>42085998.125</v>
      </c>
      <c r="F10" s="1">
        <v>14963911</v>
      </c>
      <c r="G10" s="1">
        <v>149639110</v>
      </c>
      <c r="J10" s="2">
        <f>(C10*2)+(G10*2)</f>
        <v>2992782100</v>
      </c>
      <c r="K10" s="2">
        <f>J10*64</f>
        <v>191538054400</v>
      </c>
      <c r="L10" s="2">
        <f t="shared" ref="L10:O10" si="1">K10/1024</f>
        <v>187048881.25</v>
      </c>
      <c r="M10" s="2">
        <f t="shared" si="1"/>
        <v>182664.92309570313</v>
      </c>
      <c r="N10" s="2">
        <f t="shared" si="1"/>
        <v>178.38371396064758</v>
      </c>
      <c r="O10" s="2">
        <f t="shared" si="1"/>
        <v>0.17420284566469491</v>
      </c>
      <c r="P10" s="2">
        <f>N10/60</f>
        <v>2.9730618993441262</v>
      </c>
    </row>
    <row r="11" spans="1:16" x14ac:dyDescent="0.2">
      <c r="A11" s="1">
        <v>2</v>
      </c>
      <c r="B11" s="1">
        <v>134675194</v>
      </c>
      <c r="E11" s="2">
        <v>42086000</v>
      </c>
      <c r="F11" s="1">
        <v>14963911</v>
      </c>
    </row>
    <row r="12" spans="1:16" x14ac:dyDescent="0.2">
      <c r="A12" s="1">
        <v>3</v>
      </c>
      <c r="B12" s="1">
        <v>134675194</v>
      </c>
      <c r="F12" s="1">
        <v>14963911</v>
      </c>
    </row>
    <row r="13" spans="1:16" x14ac:dyDescent="0.2">
      <c r="A13" s="1">
        <v>4</v>
      </c>
      <c r="B13" s="1">
        <v>134675194</v>
      </c>
      <c r="F13" s="1">
        <v>14963911</v>
      </c>
    </row>
    <row r="14" spans="1:16" x14ac:dyDescent="0.2">
      <c r="A14" s="1">
        <v>5</v>
      </c>
      <c r="B14" s="1">
        <v>134675194</v>
      </c>
      <c r="F14" s="1">
        <v>14963911</v>
      </c>
    </row>
    <row r="15" spans="1:16" x14ac:dyDescent="0.2">
      <c r="A15" s="1">
        <v>6</v>
      </c>
      <c r="B15" s="1">
        <v>134675194</v>
      </c>
      <c r="F15" s="1">
        <v>14963911</v>
      </c>
    </row>
    <row r="16" spans="1:16" x14ac:dyDescent="0.2">
      <c r="A16" s="1">
        <v>7</v>
      </c>
      <c r="B16" s="1">
        <v>134675194</v>
      </c>
      <c r="F16" s="1">
        <v>14963911</v>
      </c>
    </row>
    <row r="17" spans="1:9" x14ac:dyDescent="0.2">
      <c r="A17" s="1">
        <v>8</v>
      </c>
      <c r="B17" s="1">
        <v>134675194</v>
      </c>
      <c r="F17" s="1">
        <v>14963911</v>
      </c>
    </row>
    <row r="18" spans="1:9" x14ac:dyDescent="0.2">
      <c r="A18" s="1">
        <v>9</v>
      </c>
      <c r="B18" s="1">
        <v>134675194</v>
      </c>
      <c r="F18" s="1">
        <v>14963911</v>
      </c>
    </row>
    <row r="19" spans="1:9" x14ac:dyDescent="0.2">
      <c r="A19" s="1">
        <v>10</v>
      </c>
      <c r="B19" s="1">
        <v>134675199</v>
      </c>
      <c r="F19" s="1">
        <v>14963906</v>
      </c>
    </row>
    <row r="22" spans="1:9" x14ac:dyDescent="0.2">
      <c r="D22" s="1">
        <v>4208600</v>
      </c>
      <c r="E22" s="2">
        <f>D22*D3</f>
        <v>42086000</v>
      </c>
    </row>
    <row r="29" spans="1:9" x14ac:dyDescent="0.2">
      <c r="G29" s="3">
        <v>84171997</v>
      </c>
      <c r="H29" s="1">
        <v>32</v>
      </c>
      <c r="I29" s="2">
        <f>G29*H29</f>
        <v>2693503904</v>
      </c>
    </row>
    <row r="30" spans="1:9" x14ac:dyDescent="0.2">
      <c r="I30" s="1">
        <v>4529213088</v>
      </c>
    </row>
  </sheetData>
  <mergeCells count="2">
    <mergeCell ref="B7:C7"/>
    <mergeCell ref="F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B6B2-CFF0-4E8D-B4DE-E4E41DBAECB1}">
  <dimension ref="B7:E19"/>
  <sheetViews>
    <sheetView tabSelected="1" workbookViewId="0">
      <selection activeCell="I6" sqref="I6"/>
    </sheetView>
  </sheetViews>
  <sheetFormatPr defaultRowHeight="12.75" x14ac:dyDescent="0.2"/>
  <cols>
    <col min="4" max="4" width="19.85546875" customWidth="1"/>
    <col min="5" max="5" width="17.28515625" customWidth="1"/>
  </cols>
  <sheetData>
    <row r="7" spans="2:5" x14ac:dyDescent="0.2">
      <c r="B7" s="12" t="s">
        <v>19</v>
      </c>
      <c r="C7" s="12" t="s">
        <v>17</v>
      </c>
      <c r="D7" s="12" t="s">
        <v>18</v>
      </c>
      <c r="E7" s="12" t="s">
        <v>20</v>
      </c>
    </row>
    <row r="8" spans="2:5" x14ac:dyDescent="0.2">
      <c r="B8" s="12">
        <v>10000000</v>
      </c>
      <c r="C8" s="12">
        <v>131072</v>
      </c>
      <c r="D8" s="12">
        <v>128</v>
      </c>
      <c r="E8" s="12"/>
    </row>
    <row r="9" spans="2:5" x14ac:dyDescent="0.2">
      <c r="B9" s="12">
        <v>5000000</v>
      </c>
      <c r="C9" s="12">
        <v>131072</v>
      </c>
      <c r="D9" s="12">
        <v>256</v>
      </c>
      <c r="E9" s="12"/>
    </row>
    <row r="10" spans="2:5" x14ac:dyDescent="0.2">
      <c r="B10" s="12">
        <v>2500000</v>
      </c>
      <c r="C10" s="12">
        <v>131072</v>
      </c>
      <c r="D10" s="12">
        <v>512</v>
      </c>
      <c r="E10" s="12"/>
    </row>
    <row r="11" spans="2:5" x14ac:dyDescent="0.2">
      <c r="B11" s="12">
        <v>10000000</v>
      </c>
      <c r="C11" s="12">
        <v>262144</v>
      </c>
      <c r="D11" s="12">
        <v>128</v>
      </c>
      <c r="E11" s="12"/>
    </row>
    <row r="12" spans="2:5" x14ac:dyDescent="0.2">
      <c r="B12" s="12">
        <v>5000000</v>
      </c>
      <c r="C12" s="12">
        <v>262144</v>
      </c>
      <c r="D12" s="12">
        <v>256</v>
      </c>
      <c r="E12" s="12"/>
    </row>
    <row r="13" spans="2:5" x14ac:dyDescent="0.2">
      <c r="B13" s="12">
        <v>2500000</v>
      </c>
      <c r="C13" s="12">
        <v>262144</v>
      </c>
      <c r="D13" s="12">
        <v>512</v>
      </c>
      <c r="E13" s="12"/>
    </row>
    <row r="14" spans="2:5" x14ac:dyDescent="0.2">
      <c r="B14" s="12">
        <v>10000000</v>
      </c>
      <c r="C14" s="12">
        <v>524288</v>
      </c>
      <c r="D14" s="12">
        <v>128</v>
      </c>
      <c r="E14" s="12"/>
    </row>
    <row r="15" spans="2:5" x14ac:dyDescent="0.2">
      <c r="B15" s="12">
        <v>5000000</v>
      </c>
      <c r="C15" s="12">
        <v>524288</v>
      </c>
      <c r="D15" s="12">
        <v>256</v>
      </c>
      <c r="E15" s="12"/>
    </row>
    <row r="16" spans="2:5" x14ac:dyDescent="0.2">
      <c r="B16" s="12">
        <v>2500000</v>
      </c>
      <c r="C16" s="12">
        <v>524288</v>
      </c>
      <c r="D16" s="12">
        <v>512</v>
      </c>
      <c r="E16" s="12"/>
    </row>
    <row r="17" spans="2:5" x14ac:dyDescent="0.2">
      <c r="B17" s="12">
        <v>10000000</v>
      </c>
      <c r="C17" s="12">
        <v>1048576</v>
      </c>
      <c r="D17" s="12">
        <v>128</v>
      </c>
      <c r="E17" s="12"/>
    </row>
    <row r="18" spans="2:5" x14ac:dyDescent="0.2">
      <c r="B18" s="12">
        <v>5000000</v>
      </c>
      <c r="C18" s="12">
        <v>1048576</v>
      </c>
      <c r="D18" s="12">
        <v>256</v>
      </c>
      <c r="E18" s="12"/>
    </row>
    <row r="19" spans="2:5" x14ac:dyDescent="0.2">
      <c r="B19" s="12">
        <v>2500000</v>
      </c>
      <c r="C19" s="12">
        <v>1048576</v>
      </c>
      <c r="D19" s="12">
        <v>512</v>
      </c>
      <c r="E1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7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C1" s="10" t="s">
        <v>12</v>
      </c>
      <c r="D1" s="9"/>
      <c r="E1" s="9"/>
      <c r="F1" s="9"/>
      <c r="G1" s="9"/>
      <c r="H1" s="9"/>
      <c r="P1" s="10" t="s">
        <v>13</v>
      </c>
      <c r="Q1" s="9"/>
      <c r="R1" s="9"/>
      <c r="S1" s="9"/>
      <c r="T1" s="9"/>
      <c r="U1" s="9"/>
    </row>
    <row r="4" spans="1:26" ht="15.75" customHeight="1" x14ac:dyDescent="0.25">
      <c r="D4" s="11" t="s">
        <v>14</v>
      </c>
      <c r="E4" s="9"/>
      <c r="F4" s="9"/>
      <c r="G4" s="9"/>
      <c r="Q4" s="11" t="s">
        <v>14</v>
      </c>
      <c r="R4" s="9"/>
      <c r="S4" s="9"/>
      <c r="T4" s="9"/>
    </row>
    <row r="5" spans="1:26" x14ac:dyDescent="0.2">
      <c r="B5" s="1">
        <v>1</v>
      </c>
      <c r="C5" s="1">
        <v>2</v>
      </c>
      <c r="D5" s="1">
        <v>4</v>
      </c>
      <c r="E5" s="1">
        <v>8</v>
      </c>
      <c r="F5" s="1">
        <v>16</v>
      </c>
      <c r="G5" s="1">
        <v>32</v>
      </c>
      <c r="H5" s="1">
        <v>64</v>
      </c>
      <c r="I5" s="1">
        <v>128</v>
      </c>
      <c r="J5" s="1">
        <v>256</v>
      </c>
      <c r="K5" s="1">
        <v>512</v>
      </c>
      <c r="L5" s="1">
        <v>1024</v>
      </c>
      <c r="M5" s="1"/>
      <c r="O5" s="1">
        <v>1</v>
      </c>
      <c r="P5" s="1">
        <v>2</v>
      </c>
      <c r="Q5" s="1">
        <v>4</v>
      </c>
      <c r="R5" s="1">
        <v>8</v>
      </c>
      <c r="S5" s="1">
        <v>16</v>
      </c>
      <c r="T5" s="1">
        <v>32</v>
      </c>
      <c r="U5" s="1">
        <v>64</v>
      </c>
      <c r="V5" s="1">
        <v>128</v>
      </c>
      <c r="W5" s="1">
        <v>256</v>
      </c>
      <c r="X5" s="1">
        <v>512</v>
      </c>
      <c r="Y5" s="1">
        <v>1024</v>
      </c>
      <c r="Z5" s="1">
        <v>2048</v>
      </c>
    </row>
    <row r="6" spans="1:26" x14ac:dyDescent="0.2">
      <c r="A6" s="1">
        <v>1</v>
      </c>
      <c r="N6" s="1">
        <v>8</v>
      </c>
    </row>
    <row r="7" spans="1:26" x14ac:dyDescent="0.2">
      <c r="A7" s="1">
        <v>2</v>
      </c>
      <c r="N7" s="1">
        <v>16</v>
      </c>
    </row>
    <row r="8" spans="1:26" x14ac:dyDescent="0.2">
      <c r="A8" s="1">
        <v>4</v>
      </c>
      <c r="N8" s="1">
        <v>32</v>
      </c>
    </row>
    <row r="9" spans="1:26" x14ac:dyDescent="0.2">
      <c r="A9" s="1">
        <v>8</v>
      </c>
    </row>
    <row r="10" spans="1:26" x14ac:dyDescent="0.2">
      <c r="A10" s="1">
        <v>16</v>
      </c>
    </row>
    <row r="11" spans="1:26" x14ac:dyDescent="0.2">
      <c r="A11" s="1">
        <v>32</v>
      </c>
    </row>
    <row r="13" spans="1:26" ht="15.75" customHeight="1" x14ac:dyDescent="0.25">
      <c r="D13" s="11" t="s">
        <v>15</v>
      </c>
      <c r="E13" s="9"/>
      <c r="F13" s="9"/>
      <c r="G13" s="9"/>
      <c r="Q13" s="11" t="s">
        <v>16</v>
      </c>
      <c r="R13" s="9"/>
      <c r="S13" s="9"/>
      <c r="T13" s="9"/>
    </row>
    <row r="14" spans="1:26" x14ac:dyDescent="0.2">
      <c r="B14" s="1">
        <v>1</v>
      </c>
      <c r="C14" s="1">
        <v>2</v>
      </c>
      <c r="D14" s="1">
        <v>4</v>
      </c>
      <c r="E14" s="1">
        <v>8</v>
      </c>
      <c r="F14" s="1">
        <v>16</v>
      </c>
      <c r="G14" s="1">
        <v>32</v>
      </c>
      <c r="H14" s="1">
        <v>64</v>
      </c>
      <c r="I14" s="1">
        <v>128</v>
      </c>
      <c r="J14" s="1">
        <v>256</v>
      </c>
      <c r="K14" s="1">
        <v>512</v>
      </c>
      <c r="L14" s="1">
        <v>1024</v>
      </c>
      <c r="M14" s="1"/>
      <c r="O14" s="1">
        <v>1</v>
      </c>
      <c r="P14" s="1">
        <v>2</v>
      </c>
      <c r="Q14" s="1">
        <v>4</v>
      </c>
      <c r="R14" s="1">
        <v>8</v>
      </c>
      <c r="S14" s="1">
        <v>16</v>
      </c>
      <c r="T14" s="1">
        <v>32</v>
      </c>
      <c r="U14" s="1">
        <v>64</v>
      </c>
      <c r="V14" s="1">
        <v>128</v>
      </c>
      <c r="W14" s="1">
        <v>256</v>
      </c>
      <c r="X14" s="1">
        <v>512</v>
      </c>
      <c r="Y14" s="4">
        <v>1024</v>
      </c>
      <c r="Z14" s="5">
        <v>2048</v>
      </c>
    </row>
    <row r="15" spans="1:26" x14ac:dyDescent="0.2">
      <c r="A15" s="1">
        <v>1</v>
      </c>
      <c r="N15" s="1">
        <v>8</v>
      </c>
    </row>
    <row r="16" spans="1:26" x14ac:dyDescent="0.2">
      <c r="A16" s="1">
        <v>2</v>
      </c>
      <c r="N16" s="1">
        <v>16</v>
      </c>
    </row>
    <row r="17" spans="1:20" x14ac:dyDescent="0.2">
      <c r="A17" s="1">
        <v>4</v>
      </c>
      <c r="M17" s="1"/>
      <c r="N17" s="1">
        <v>32</v>
      </c>
    </row>
    <row r="18" spans="1:20" x14ac:dyDescent="0.2">
      <c r="A18" s="1">
        <v>8</v>
      </c>
    </row>
    <row r="19" spans="1:20" x14ac:dyDescent="0.2">
      <c r="A19" s="1">
        <v>16</v>
      </c>
    </row>
    <row r="20" spans="1:20" x14ac:dyDescent="0.2">
      <c r="A20" s="1">
        <v>32</v>
      </c>
    </row>
    <row r="22" spans="1:20" ht="15.75" customHeight="1" x14ac:dyDescent="0.25">
      <c r="D22" s="11"/>
      <c r="E22" s="9"/>
      <c r="F22" s="9"/>
      <c r="G22" s="9"/>
      <c r="Q22" s="11"/>
      <c r="R22" s="9"/>
      <c r="S22" s="9"/>
      <c r="T22" s="9"/>
    </row>
    <row r="23" spans="1:20" x14ac:dyDescent="0.2">
      <c r="M23" s="1"/>
    </row>
    <row r="26" spans="1:20" x14ac:dyDescent="0.2">
      <c r="M26" s="1"/>
    </row>
    <row r="33" spans="4:20" ht="15.75" customHeight="1" x14ac:dyDescent="0.25">
      <c r="D33" s="11"/>
      <c r="E33" s="9"/>
      <c r="F33" s="9"/>
      <c r="G33" s="9"/>
      <c r="Q33" s="11"/>
      <c r="R33" s="9"/>
      <c r="S33" s="9"/>
      <c r="T33" s="9"/>
    </row>
    <row r="34" spans="4:20" x14ac:dyDescent="0.2">
      <c r="M34" s="1"/>
    </row>
    <row r="37" spans="4:20" ht="12.75" x14ac:dyDescent="0.2">
      <c r="M37" s="1"/>
    </row>
    <row r="42" spans="4:20" x14ac:dyDescent="0.25">
      <c r="D42" s="11"/>
      <c r="E42" s="9"/>
      <c r="F42" s="9"/>
      <c r="G42" s="9"/>
      <c r="Q42" s="11"/>
      <c r="R42" s="9"/>
      <c r="S42" s="9"/>
      <c r="T42" s="9"/>
    </row>
    <row r="43" spans="4:20" ht="12.75" x14ac:dyDescent="0.2">
      <c r="M43" s="1"/>
    </row>
    <row r="46" spans="4:20" ht="12.75" x14ac:dyDescent="0.2">
      <c r="M46" s="1"/>
    </row>
    <row r="51" spans="4:20" x14ac:dyDescent="0.25">
      <c r="D51" s="11"/>
      <c r="E51" s="9"/>
      <c r="F51" s="9"/>
      <c r="G51" s="9"/>
      <c r="Q51" s="11"/>
      <c r="R51" s="9"/>
      <c r="S51" s="9"/>
      <c r="T51" s="9"/>
    </row>
    <row r="52" spans="4:20" ht="12.75" x14ac:dyDescent="0.2">
      <c r="M52" s="1"/>
    </row>
    <row r="55" spans="4:20" ht="12.75" x14ac:dyDescent="0.2">
      <c r="M55" s="1"/>
    </row>
    <row r="62" spans="4:20" x14ac:dyDescent="0.25">
      <c r="D62" s="11"/>
      <c r="E62" s="9"/>
      <c r="F62" s="9"/>
      <c r="G62" s="9"/>
      <c r="Q62" s="11"/>
      <c r="R62" s="9"/>
      <c r="S62" s="9"/>
      <c r="T62" s="9"/>
    </row>
    <row r="63" spans="4:20" ht="12.75" x14ac:dyDescent="0.2">
      <c r="M63" s="1"/>
    </row>
    <row r="71" spans="4:20" x14ac:dyDescent="0.25">
      <c r="D71" s="11"/>
      <c r="E71" s="9"/>
      <c r="F71" s="9"/>
      <c r="G71" s="9"/>
      <c r="Q71" s="11"/>
      <c r="R71" s="9"/>
      <c r="S71" s="9"/>
      <c r="T71" s="9"/>
    </row>
    <row r="72" spans="4:20" ht="12.75" x14ac:dyDescent="0.2">
      <c r="M72" s="1"/>
    </row>
    <row r="80" spans="4:20" x14ac:dyDescent="0.25">
      <c r="D80" s="11"/>
      <c r="E80" s="9"/>
      <c r="F80" s="9"/>
      <c r="G80" s="9"/>
      <c r="Q80" s="11"/>
      <c r="R80" s="9"/>
      <c r="S80" s="9"/>
      <c r="T80" s="9"/>
    </row>
    <row r="81" spans="1:13" ht="12.75" x14ac:dyDescent="0.2">
      <c r="M81" s="1"/>
    </row>
    <row r="82" spans="1:13" ht="12.75" x14ac:dyDescent="0.2">
      <c r="A82" s="1">
        <v>1</v>
      </c>
    </row>
    <row r="83" spans="1:13" ht="12.75" x14ac:dyDescent="0.2">
      <c r="A83" s="1">
        <v>2</v>
      </c>
    </row>
    <row r="84" spans="1:13" ht="12.75" x14ac:dyDescent="0.2">
      <c r="A84" s="1">
        <v>4</v>
      </c>
    </row>
    <row r="85" spans="1:13" ht="12.75" x14ac:dyDescent="0.2">
      <c r="A85" s="1">
        <v>8</v>
      </c>
    </row>
    <row r="86" spans="1:13" ht="12.75" x14ac:dyDescent="0.2">
      <c r="A86" s="1">
        <v>16</v>
      </c>
    </row>
    <row r="87" spans="1:13" ht="12.75" x14ac:dyDescent="0.2">
      <c r="A87" s="1">
        <v>32</v>
      </c>
    </row>
  </sheetData>
  <mergeCells count="20">
    <mergeCell ref="D80:G80"/>
    <mergeCell ref="Q80:T80"/>
    <mergeCell ref="D22:G22"/>
    <mergeCell ref="D33:G33"/>
    <mergeCell ref="Q33:T33"/>
    <mergeCell ref="D42:G42"/>
    <mergeCell ref="Q42:T42"/>
    <mergeCell ref="D51:G51"/>
    <mergeCell ref="Q51:T51"/>
    <mergeCell ref="Q22:T22"/>
    <mergeCell ref="D62:G62"/>
    <mergeCell ref="Q62:T62"/>
    <mergeCell ref="D71:G71"/>
    <mergeCell ref="Q71:T71"/>
    <mergeCell ref="C1:H1"/>
    <mergeCell ref="P1:U1"/>
    <mergeCell ref="D4:G4"/>
    <mergeCell ref="Q4:T4"/>
    <mergeCell ref="D13:G13"/>
    <mergeCell ref="Q13:T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87"/>
  <sheetViews>
    <sheetView workbookViewId="0"/>
  </sheetViews>
  <sheetFormatPr defaultColWidth="12.5703125" defaultRowHeight="15.75" customHeight="1" x14ac:dyDescent="0.2"/>
  <sheetData>
    <row r="1" spans="1:29" ht="15.75" customHeight="1" x14ac:dyDescent="0.25">
      <c r="C1" s="10" t="s">
        <v>12</v>
      </c>
      <c r="D1" s="9"/>
      <c r="E1" s="9"/>
      <c r="F1" s="9"/>
      <c r="G1" s="9"/>
      <c r="H1" s="9"/>
      <c r="P1" s="10" t="s">
        <v>13</v>
      </c>
      <c r="Q1" s="9"/>
      <c r="R1" s="9"/>
      <c r="S1" s="9"/>
      <c r="T1" s="9"/>
      <c r="U1" s="9"/>
    </row>
    <row r="4" spans="1:29" ht="15.75" customHeight="1" x14ac:dyDescent="0.25">
      <c r="D4" s="11" t="s">
        <v>14</v>
      </c>
      <c r="E4" s="9"/>
      <c r="F4" s="9"/>
      <c r="G4" s="9"/>
      <c r="Q4" s="11" t="s">
        <v>14</v>
      </c>
      <c r="R4" s="9"/>
      <c r="S4" s="9"/>
      <c r="T4" s="9"/>
    </row>
    <row r="5" spans="1:29" x14ac:dyDescent="0.2">
      <c r="B5" s="1">
        <v>1</v>
      </c>
      <c r="C5" s="1">
        <v>2</v>
      </c>
      <c r="D5" s="1">
        <v>4</v>
      </c>
      <c r="E5" s="1">
        <v>8</v>
      </c>
      <c r="F5" s="1">
        <v>16</v>
      </c>
      <c r="G5" s="1">
        <v>32</v>
      </c>
      <c r="H5" s="1">
        <v>64</v>
      </c>
      <c r="I5" s="1">
        <v>128</v>
      </c>
      <c r="J5" s="1">
        <v>256</v>
      </c>
      <c r="K5" s="1">
        <v>512</v>
      </c>
      <c r="L5" s="1">
        <v>1024</v>
      </c>
      <c r="M5" s="1"/>
      <c r="O5" s="1">
        <v>1</v>
      </c>
      <c r="P5" s="1">
        <v>2</v>
      </c>
      <c r="Q5" s="1">
        <v>4</v>
      </c>
      <c r="R5" s="1">
        <v>8</v>
      </c>
      <c r="S5" s="1">
        <v>16</v>
      </c>
      <c r="T5" s="1">
        <v>32</v>
      </c>
      <c r="U5" s="1">
        <v>64</v>
      </c>
      <c r="V5" s="1">
        <v>128</v>
      </c>
      <c r="W5" s="1">
        <v>256</v>
      </c>
      <c r="X5" s="1">
        <v>512</v>
      </c>
      <c r="Y5" s="1">
        <v>1024</v>
      </c>
      <c r="Z5" s="1">
        <v>2048</v>
      </c>
      <c r="AA5" s="1">
        <v>4096</v>
      </c>
      <c r="AB5" s="1">
        <v>8192</v>
      </c>
      <c r="AC5" s="1">
        <v>16384</v>
      </c>
    </row>
    <row r="6" spans="1:29" x14ac:dyDescent="0.2">
      <c r="A6" s="1">
        <v>1</v>
      </c>
      <c r="B6" s="1">
        <v>2448.502704</v>
      </c>
      <c r="L6" s="1">
        <v>4.8062610000000001</v>
      </c>
      <c r="N6" s="1">
        <v>8</v>
      </c>
      <c r="AA6" s="1"/>
      <c r="AB6" s="1"/>
      <c r="AC6" s="1"/>
    </row>
    <row r="7" spans="1:29" x14ac:dyDescent="0.2">
      <c r="A7" s="1">
        <v>2</v>
      </c>
      <c r="B7" s="1">
        <v>1370.1756290000001</v>
      </c>
      <c r="N7" s="1">
        <v>16</v>
      </c>
    </row>
    <row r="8" spans="1:29" x14ac:dyDescent="0.2">
      <c r="A8" s="1">
        <v>4</v>
      </c>
      <c r="N8" s="1">
        <v>32</v>
      </c>
      <c r="Z8" s="6">
        <v>5.1089510000000002</v>
      </c>
      <c r="AA8" s="6"/>
      <c r="AB8" s="6">
        <v>5.0911439999999999</v>
      </c>
      <c r="AC8" s="6"/>
    </row>
    <row r="9" spans="1:29" x14ac:dyDescent="0.2">
      <c r="A9" s="1">
        <v>8</v>
      </c>
    </row>
    <row r="10" spans="1:29" x14ac:dyDescent="0.2">
      <c r="A10" s="1">
        <v>16</v>
      </c>
      <c r="Y10" s="7"/>
      <c r="Z10" s="2">
        <f>B6/Z8</f>
        <v>479.2574256437378</v>
      </c>
      <c r="AB10" s="2">
        <f>B6/AB8</f>
        <v>480.93369663085548</v>
      </c>
    </row>
    <row r="11" spans="1:29" x14ac:dyDescent="0.2">
      <c r="A11" s="1">
        <v>32</v>
      </c>
      <c r="B11" s="1">
        <v>84.917158999999998</v>
      </c>
      <c r="L11" s="1">
        <v>0.21577399999999999</v>
      </c>
    </row>
    <row r="12" spans="1:29" x14ac:dyDescent="0.2">
      <c r="M12" s="7"/>
    </row>
    <row r="13" spans="1:29" ht="15.75" customHeight="1" x14ac:dyDescent="0.25">
      <c r="D13" s="11" t="s">
        <v>15</v>
      </c>
      <c r="E13" s="9"/>
      <c r="F13" s="9"/>
      <c r="G13" s="9"/>
      <c r="Q13" s="11" t="s">
        <v>16</v>
      </c>
      <c r="R13" s="9"/>
      <c r="S13" s="9"/>
      <c r="T13" s="9"/>
    </row>
    <row r="14" spans="1:29" x14ac:dyDescent="0.2">
      <c r="B14" s="1">
        <v>1</v>
      </c>
      <c r="C14" s="1">
        <v>2</v>
      </c>
      <c r="D14" s="1">
        <v>4</v>
      </c>
      <c r="E14" s="1">
        <v>8</v>
      </c>
      <c r="F14" s="1">
        <v>16</v>
      </c>
      <c r="G14" s="1">
        <v>32</v>
      </c>
      <c r="H14" s="1">
        <v>64</v>
      </c>
      <c r="I14" s="1">
        <v>128</v>
      </c>
      <c r="J14" s="1">
        <v>256</v>
      </c>
      <c r="K14" s="1">
        <v>512</v>
      </c>
      <c r="L14" s="1">
        <v>1024</v>
      </c>
      <c r="M14" s="1"/>
      <c r="O14" s="1">
        <v>1</v>
      </c>
      <c r="P14" s="1">
        <v>2</v>
      </c>
      <c r="Q14" s="1">
        <v>4</v>
      </c>
      <c r="R14" s="1">
        <v>8</v>
      </c>
      <c r="S14" s="1">
        <v>16</v>
      </c>
      <c r="T14" s="1">
        <v>32</v>
      </c>
      <c r="U14" s="1">
        <v>64</v>
      </c>
      <c r="V14" s="1">
        <v>128</v>
      </c>
      <c r="W14" s="1">
        <v>256</v>
      </c>
      <c r="X14" s="1">
        <v>512</v>
      </c>
      <c r="Y14" s="4">
        <v>1024</v>
      </c>
      <c r="Z14" s="5">
        <v>2048</v>
      </c>
      <c r="AA14" s="5"/>
      <c r="AB14" s="5"/>
      <c r="AC14" s="5"/>
    </row>
    <row r="15" spans="1:29" x14ac:dyDescent="0.2">
      <c r="A15" s="1">
        <v>1</v>
      </c>
      <c r="B15" s="1">
        <v>93.174284999999998</v>
      </c>
      <c r="L15" s="1">
        <v>92.302857000000003</v>
      </c>
      <c r="N15" s="1">
        <v>8</v>
      </c>
      <c r="AA15" s="1"/>
      <c r="AB15" s="1"/>
      <c r="AC15" s="1"/>
    </row>
    <row r="16" spans="1:29" x14ac:dyDescent="0.2">
      <c r="A16" s="1">
        <v>2</v>
      </c>
      <c r="B16" s="1">
        <v>93.117142000000001</v>
      </c>
      <c r="N16" s="1">
        <v>16</v>
      </c>
    </row>
    <row r="17" spans="1:29" x14ac:dyDescent="0.2">
      <c r="A17" s="1">
        <v>4</v>
      </c>
      <c r="M17" s="1"/>
      <c r="N17" s="1">
        <v>32</v>
      </c>
      <c r="Z17" s="1">
        <v>92.559999000000005</v>
      </c>
      <c r="AA17" s="1"/>
      <c r="AB17" s="1">
        <v>90.688570999999996</v>
      </c>
      <c r="AC17" s="1"/>
    </row>
    <row r="18" spans="1:29" x14ac:dyDescent="0.2">
      <c r="A18" s="1">
        <v>8</v>
      </c>
    </row>
    <row r="19" spans="1:29" x14ac:dyDescent="0.2">
      <c r="A19" s="1">
        <v>16</v>
      </c>
    </row>
    <row r="20" spans="1:29" x14ac:dyDescent="0.2">
      <c r="A20" s="1">
        <v>32</v>
      </c>
      <c r="B20" s="1">
        <v>90.919999000000004</v>
      </c>
      <c r="D20" s="1">
        <v>92.911428000000001</v>
      </c>
      <c r="L20" s="1">
        <v>88.028570999999999</v>
      </c>
    </row>
    <row r="22" spans="1:29" ht="15.75" customHeight="1" x14ac:dyDescent="0.25">
      <c r="D22" s="11"/>
      <c r="E22" s="9"/>
      <c r="F22" s="9"/>
      <c r="G22" s="9"/>
      <c r="Q22" s="11"/>
      <c r="R22" s="9"/>
      <c r="S22" s="9"/>
      <c r="T22" s="9"/>
    </row>
    <row r="23" spans="1:29" x14ac:dyDescent="0.2">
      <c r="M23" s="1"/>
    </row>
    <row r="26" spans="1:29" x14ac:dyDescent="0.2">
      <c r="M26" s="1"/>
    </row>
    <row r="33" spans="4:20" ht="15.75" customHeight="1" x14ac:dyDescent="0.25">
      <c r="D33" s="11"/>
      <c r="E33" s="9"/>
      <c r="F33" s="9"/>
      <c r="G33" s="9"/>
      <c r="Q33" s="11"/>
      <c r="R33" s="9"/>
      <c r="S33" s="9"/>
      <c r="T33" s="9"/>
    </row>
    <row r="34" spans="4:20" x14ac:dyDescent="0.2">
      <c r="M34" s="1"/>
    </row>
    <row r="37" spans="4:20" ht="12.75" x14ac:dyDescent="0.2">
      <c r="M37" s="1"/>
    </row>
    <row r="42" spans="4:20" x14ac:dyDescent="0.25">
      <c r="D42" s="11"/>
      <c r="E42" s="9"/>
      <c r="F42" s="9"/>
      <c r="G42" s="9"/>
      <c r="Q42" s="11"/>
      <c r="R42" s="9"/>
      <c r="S42" s="9"/>
      <c r="T42" s="9"/>
    </row>
    <row r="43" spans="4:20" ht="12.75" x14ac:dyDescent="0.2">
      <c r="M43" s="1"/>
    </row>
    <row r="46" spans="4:20" ht="12.75" x14ac:dyDescent="0.2">
      <c r="M46" s="1"/>
    </row>
    <row r="51" spans="4:20" x14ac:dyDescent="0.25">
      <c r="D51" s="11"/>
      <c r="E51" s="9"/>
      <c r="F51" s="9"/>
      <c r="G51" s="9"/>
      <c r="Q51" s="11"/>
      <c r="R51" s="9"/>
      <c r="S51" s="9"/>
      <c r="T51" s="9"/>
    </row>
    <row r="52" spans="4:20" ht="12.75" x14ac:dyDescent="0.2">
      <c r="M52" s="1"/>
    </row>
    <row r="55" spans="4:20" ht="12.75" x14ac:dyDescent="0.2">
      <c r="M55" s="1"/>
    </row>
    <row r="62" spans="4:20" x14ac:dyDescent="0.25">
      <c r="D62" s="11"/>
      <c r="E62" s="9"/>
      <c r="F62" s="9"/>
      <c r="G62" s="9"/>
      <c r="Q62" s="11"/>
      <c r="R62" s="9"/>
      <c r="S62" s="9"/>
      <c r="T62" s="9"/>
    </row>
    <row r="63" spans="4:20" ht="12.75" x14ac:dyDescent="0.2">
      <c r="M63" s="1"/>
    </row>
    <row r="71" spans="4:20" x14ac:dyDescent="0.25">
      <c r="D71" s="11"/>
      <c r="E71" s="9"/>
      <c r="F71" s="9"/>
      <c r="G71" s="9"/>
      <c r="Q71" s="11"/>
      <c r="R71" s="9"/>
      <c r="S71" s="9"/>
      <c r="T71" s="9"/>
    </row>
    <row r="72" spans="4:20" ht="12.75" x14ac:dyDescent="0.2">
      <c r="M72" s="1"/>
    </row>
    <row r="80" spans="4:20" x14ac:dyDescent="0.25">
      <c r="D80" s="11"/>
      <c r="E80" s="9"/>
      <c r="F80" s="9"/>
      <c r="G80" s="9"/>
      <c r="Q80" s="11"/>
      <c r="R80" s="9"/>
      <c r="S80" s="9"/>
      <c r="T80" s="9"/>
    </row>
    <row r="81" spans="1:13" ht="12.75" x14ac:dyDescent="0.2">
      <c r="M81" s="1"/>
    </row>
    <row r="82" spans="1:13" ht="12.75" x14ac:dyDescent="0.2">
      <c r="A82" s="1">
        <v>1</v>
      </c>
    </row>
    <row r="83" spans="1:13" ht="12.75" x14ac:dyDescent="0.2">
      <c r="A83" s="1">
        <v>2</v>
      </c>
    </row>
    <row r="84" spans="1:13" ht="12.75" x14ac:dyDescent="0.2">
      <c r="A84" s="1">
        <v>4</v>
      </c>
    </row>
    <row r="85" spans="1:13" ht="12.75" x14ac:dyDescent="0.2">
      <c r="A85" s="1">
        <v>8</v>
      </c>
    </row>
    <row r="86" spans="1:13" ht="12.75" x14ac:dyDescent="0.2">
      <c r="A86" s="1">
        <v>16</v>
      </c>
    </row>
    <row r="87" spans="1:13" ht="12.75" x14ac:dyDescent="0.2">
      <c r="A87" s="1">
        <v>32</v>
      </c>
    </row>
  </sheetData>
  <mergeCells count="20">
    <mergeCell ref="D80:G80"/>
    <mergeCell ref="Q80:T80"/>
    <mergeCell ref="D22:G22"/>
    <mergeCell ref="D33:G33"/>
    <mergeCell ref="Q33:T33"/>
    <mergeCell ref="D42:G42"/>
    <mergeCell ref="Q42:T42"/>
    <mergeCell ref="D51:G51"/>
    <mergeCell ref="Q51:T51"/>
    <mergeCell ref="Q22:T22"/>
    <mergeCell ref="D62:G62"/>
    <mergeCell ref="Q62:T62"/>
    <mergeCell ref="D71:G71"/>
    <mergeCell ref="Q71:T71"/>
    <mergeCell ref="C1:H1"/>
    <mergeCell ref="P1:U1"/>
    <mergeCell ref="D4:G4"/>
    <mergeCell ref="Q4:T4"/>
    <mergeCell ref="D13:G13"/>
    <mergeCell ref="Q13:T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7"/>
  <sheetViews>
    <sheetView workbookViewId="0"/>
  </sheetViews>
  <sheetFormatPr defaultColWidth="12.5703125" defaultRowHeight="15.75" customHeight="1" x14ac:dyDescent="0.2"/>
  <sheetData>
    <row r="1" spans="1:27" ht="15.75" customHeight="1" x14ac:dyDescent="0.25">
      <c r="C1" s="10" t="s">
        <v>12</v>
      </c>
      <c r="D1" s="9"/>
      <c r="E1" s="9"/>
      <c r="F1" s="9"/>
      <c r="G1" s="9"/>
      <c r="H1" s="9"/>
      <c r="P1" s="10" t="s">
        <v>13</v>
      </c>
      <c r="Q1" s="9"/>
      <c r="R1" s="9"/>
      <c r="S1" s="9"/>
      <c r="T1" s="9"/>
      <c r="U1" s="9"/>
    </row>
    <row r="4" spans="1:27" ht="15.75" customHeight="1" x14ac:dyDescent="0.25">
      <c r="D4" s="11" t="s">
        <v>14</v>
      </c>
      <c r="E4" s="9"/>
      <c r="F4" s="9"/>
      <c r="G4" s="9"/>
      <c r="Q4" s="11" t="s">
        <v>14</v>
      </c>
      <c r="R4" s="9"/>
      <c r="S4" s="9"/>
      <c r="T4" s="9"/>
    </row>
    <row r="5" spans="1:27" x14ac:dyDescent="0.2">
      <c r="B5" s="1">
        <v>1</v>
      </c>
      <c r="C5" s="1">
        <v>2</v>
      </c>
      <c r="D5" s="1">
        <v>4</v>
      </c>
      <c r="E5" s="1">
        <v>8</v>
      </c>
      <c r="F5" s="1">
        <v>16</v>
      </c>
      <c r="G5" s="1">
        <v>32</v>
      </c>
      <c r="H5" s="1">
        <v>64</v>
      </c>
      <c r="I5" s="1">
        <v>128</v>
      </c>
      <c r="J5" s="1">
        <v>256</v>
      </c>
      <c r="K5" s="1">
        <v>512</v>
      </c>
      <c r="L5" s="1">
        <v>1024</v>
      </c>
      <c r="M5" s="1"/>
      <c r="O5" s="1">
        <v>1</v>
      </c>
      <c r="P5" s="1">
        <v>2</v>
      </c>
      <c r="Q5" s="1">
        <v>4</v>
      </c>
      <c r="R5" s="1">
        <v>8</v>
      </c>
      <c r="S5" s="1">
        <v>16</v>
      </c>
      <c r="T5" s="1">
        <v>32</v>
      </c>
      <c r="U5" s="1">
        <v>64</v>
      </c>
      <c r="V5" s="1">
        <v>128</v>
      </c>
      <c r="W5" s="1">
        <v>256</v>
      </c>
      <c r="X5" s="1">
        <v>512</v>
      </c>
      <c r="Y5" s="1">
        <v>1024</v>
      </c>
      <c r="Z5" s="1">
        <v>2048</v>
      </c>
      <c r="AA5" s="1">
        <v>4096</v>
      </c>
    </row>
    <row r="6" spans="1:27" x14ac:dyDescent="0.2">
      <c r="A6" s="1">
        <v>1</v>
      </c>
      <c r="B6" s="1">
        <v>4240.2528259999999</v>
      </c>
      <c r="N6" s="1">
        <v>8</v>
      </c>
    </row>
    <row r="7" spans="1:27" x14ac:dyDescent="0.2">
      <c r="A7" s="1">
        <v>2</v>
      </c>
      <c r="N7" s="1">
        <v>16</v>
      </c>
    </row>
    <row r="8" spans="1:27" x14ac:dyDescent="0.2">
      <c r="A8" s="1">
        <v>4</v>
      </c>
      <c r="M8" s="1"/>
      <c r="N8" s="1">
        <v>32</v>
      </c>
      <c r="X8" s="1">
        <v>17.185606</v>
      </c>
      <c r="Z8" s="1">
        <v>9.7432590000000001</v>
      </c>
      <c r="AA8" s="1">
        <v>9.5472710000000003</v>
      </c>
    </row>
    <row r="9" spans="1:27" x14ac:dyDescent="0.2">
      <c r="A9" s="1">
        <v>8</v>
      </c>
      <c r="AA9" s="2">
        <f>B6/AA8</f>
        <v>444.13244643416948</v>
      </c>
    </row>
    <row r="10" spans="1:27" x14ac:dyDescent="0.2">
      <c r="A10" s="1">
        <v>16</v>
      </c>
    </row>
    <row r="11" spans="1:27" x14ac:dyDescent="0.2">
      <c r="A11" s="1">
        <v>32</v>
      </c>
      <c r="K11" s="1">
        <v>0.49262400000000001</v>
      </c>
      <c r="M11" s="2">
        <f>B6/K11</f>
        <v>8607.4832448276975</v>
      </c>
    </row>
    <row r="13" spans="1:27" ht="15.75" customHeight="1" x14ac:dyDescent="0.25">
      <c r="D13" s="11" t="s">
        <v>15</v>
      </c>
      <c r="E13" s="9"/>
      <c r="F13" s="9"/>
      <c r="G13" s="9"/>
      <c r="Q13" s="11" t="s">
        <v>16</v>
      </c>
      <c r="R13" s="9"/>
      <c r="S13" s="9"/>
      <c r="T13" s="9"/>
    </row>
    <row r="14" spans="1:27" x14ac:dyDescent="0.2">
      <c r="B14" s="1">
        <v>1</v>
      </c>
      <c r="C14" s="1">
        <v>2</v>
      </c>
      <c r="D14" s="1">
        <v>4</v>
      </c>
      <c r="E14" s="1">
        <v>8</v>
      </c>
      <c r="F14" s="1">
        <v>16</v>
      </c>
      <c r="G14" s="1">
        <v>32</v>
      </c>
      <c r="H14" s="1">
        <v>64</v>
      </c>
      <c r="I14" s="1">
        <v>128</v>
      </c>
      <c r="J14" s="1">
        <v>256</v>
      </c>
      <c r="K14" s="1">
        <v>512</v>
      </c>
      <c r="L14" s="1">
        <v>1024</v>
      </c>
      <c r="M14" s="1"/>
      <c r="O14" s="1">
        <v>1</v>
      </c>
      <c r="P14" s="1">
        <v>2</v>
      </c>
      <c r="Q14" s="1">
        <v>4</v>
      </c>
      <c r="R14" s="1">
        <v>8</v>
      </c>
      <c r="S14" s="1">
        <v>16</v>
      </c>
      <c r="T14" s="1">
        <v>32</v>
      </c>
      <c r="U14" s="1">
        <v>64</v>
      </c>
      <c r="V14" s="1">
        <v>128</v>
      </c>
      <c r="W14" s="1">
        <v>256</v>
      </c>
      <c r="X14" s="1">
        <v>512</v>
      </c>
      <c r="Y14" s="4">
        <v>1024</v>
      </c>
      <c r="Z14" s="5">
        <v>2048</v>
      </c>
      <c r="AA14" s="5"/>
    </row>
    <row r="15" spans="1:27" x14ac:dyDescent="0.2">
      <c r="A15" s="1">
        <v>1</v>
      </c>
      <c r="B15" s="1">
        <v>97.663584</v>
      </c>
      <c r="N15" s="1">
        <v>8</v>
      </c>
      <c r="T15" s="6"/>
    </row>
    <row r="16" spans="1:27" x14ac:dyDescent="0.2">
      <c r="A16" s="1">
        <v>2</v>
      </c>
      <c r="N16" s="1">
        <v>16</v>
      </c>
    </row>
    <row r="17" spans="1:24" x14ac:dyDescent="0.2">
      <c r="A17" s="1">
        <v>4</v>
      </c>
      <c r="M17" s="1"/>
      <c r="N17" s="1">
        <v>32</v>
      </c>
      <c r="X17" s="1">
        <v>97.806922999999998</v>
      </c>
    </row>
    <row r="18" spans="1:24" x14ac:dyDescent="0.2">
      <c r="A18" s="1">
        <v>8</v>
      </c>
    </row>
    <row r="19" spans="1:24" x14ac:dyDescent="0.2">
      <c r="A19" s="1">
        <v>16</v>
      </c>
    </row>
    <row r="20" spans="1:24" x14ac:dyDescent="0.2">
      <c r="A20" s="1">
        <v>32</v>
      </c>
      <c r="K20" s="1">
        <v>96.868056999999993</v>
      </c>
    </row>
    <row r="22" spans="1:24" ht="15.75" customHeight="1" x14ac:dyDescent="0.25">
      <c r="D22" s="11"/>
      <c r="E22" s="9"/>
      <c r="F22" s="9"/>
      <c r="G22" s="9"/>
      <c r="Q22" s="11"/>
      <c r="R22" s="9"/>
      <c r="S22" s="9"/>
      <c r="T22" s="9"/>
    </row>
    <row r="23" spans="1:24" x14ac:dyDescent="0.2">
      <c r="M23" s="1"/>
    </row>
    <row r="26" spans="1:24" x14ac:dyDescent="0.2">
      <c r="M26" s="1"/>
    </row>
    <row r="33" spans="4:20" ht="15.75" customHeight="1" x14ac:dyDescent="0.25">
      <c r="D33" s="11"/>
      <c r="E33" s="9"/>
      <c r="F33" s="9"/>
      <c r="G33" s="9"/>
      <c r="Q33" s="11"/>
      <c r="R33" s="9"/>
      <c r="S33" s="9"/>
      <c r="T33" s="9"/>
    </row>
    <row r="34" spans="4:20" x14ac:dyDescent="0.2">
      <c r="M34" s="1"/>
    </row>
    <row r="37" spans="4:20" ht="12.75" x14ac:dyDescent="0.2">
      <c r="M37" s="1"/>
    </row>
    <row r="42" spans="4:20" x14ac:dyDescent="0.25">
      <c r="D42" s="11"/>
      <c r="E42" s="9"/>
      <c r="F42" s="9"/>
      <c r="G42" s="9"/>
      <c r="Q42" s="11"/>
      <c r="R42" s="9"/>
      <c r="S42" s="9"/>
      <c r="T42" s="9"/>
    </row>
    <row r="43" spans="4:20" ht="12.75" x14ac:dyDescent="0.2">
      <c r="M43" s="1"/>
    </row>
    <row r="46" spans="4:20" ht="12.75" x14ac:dyDescent="0.2">
      <c r="M46" s="1"/>
    </row>
    <row r="51" spans="4:20" x14ac:dyDescent="0.25">
      <c r="D51" s="11"/>
      <c r="E51" s="9"/>
      <c r="F51" s="9"/>
      <c r="G51" s="9"/>
      <c r="Q51" s="11"/>
      <c r="R51" s="9"/>
      <c r="S51" s="9"/>
      <c r="T51" s="9"/>
    </row>
    <row r="52" spans="4:20" ht="12.75" x14ac:dyDescent="0.2">
      <c r="M52" s="1"/>
    </row>
    <row r="55" spans="4:20" ht="12.75" x14ac:dyDescent="0.2">
      <c r="M55" s="1"/>
    </row>
    <row r="62" spans="4:20" x14ac:dyDescent="0.25">
      <c r="D62" s="11"/>
      <c r="E62" s="9"/>
      <c r="F62" s="9"/>
      <c r="G62" s="9"/>
      <c r="Q62" s="11"/>
      <c r="R62" s="9"/>
      <c r="S62" s="9"/>
      <c r="T62" s="9"/>
    </row>
    <row r="63" spans="4:20" ht="12.75" x14ac:dyDescent="0.2">
      <c r="M63" s="1"/>
    </row>
    <row r="71" spans="4:20" x14ac:dyDescent="0.25">
      <c r="D71" s="11"/>
      <c r="E71" s="9"/>
      <c r="F71" s="9"/>
      <c r="G71" s="9"/>
      <c r="Q71" s="11"/>
      <c r="R71" s="9"/>
      <c r="S71" s="9"/>
      <c r="T71" s="9"/>
    </row>
    <row r="72" spans="4:20" ht="12.75" x14ac:dyDescent="0.2">
      <c r="M72" s="1"/>
    </row>
    <row r="80" spans="4:20" x14ac:dyDescent="0.25">
      <c r="D80" s="11"/>
      <c r="E80" s="9"/>
      <c r="F80" s="9"/>
      <c r="G80" s="9"/>
      <c r="Q80" s="11"/>
      <c r="R80" s="9"/>
      <c r="S80" s="9"/>
      <c r="T80" s="9"/>
    </row>
    <row r="81" spans="1:13" ht="12.75" x14ac:dyDescent="0.2">
      <c r="M81" s="1"/>
    </row>
    <row r="82" spans="1:13" ht="12.75" x14ac:dyDescent="0.2">
      <c r="A82" s="1">
        <v>1</v>
      </c>
    </row>
    <row r="83" spans="1:13" ht="12.75" x14ac:dyDescent="0.2">
      <c r="A83" s="1">
        <v>2</v>
      </c>
    </row>
    <row r="84" spans="1:13" ht="12.75" x14ac:dyDescent="0.2">
      <c r="A84" s="1">
        <v>4</v>
      </c>
    </row>
    <row r="85" spans="1:13" ht="12.75" x14ac:dyDescent="0.2">
      <c r="A85" s="1">
        <v>8</v>
      </c>
    </row>
    <row r="86" spans="1:13" ht="12.75" x14ac:dyDescent="0.2">
      <c r="A86" s="1">
        <v>16</v>
      </c>
    </row>
    <row r="87" spans="1:13" ht="12.75" x14ac:dyDescent="0.2">
      <c r="A87" s="1">
        <v>32</v>
      </c>
    </row>
  </sheetData>
  <mergeCells count="20">
    <mergeCell ref="D80:G80"/>
    <mergeCell ref="Q80:T80"/>
    <mergeCell ref="D22:G22"/>
    <mergeCell ref="D33:G33"/>
    <mergeCell ref="Q33:T33"/>
    <mergeCell ref="D42:G42"/>
    <mergeCell ref="Q42:T42"/>
    <mergeCell ref="D51:G51"/>
    <mergeCell ref="Q51:T51"/>
    <mergeCell ref="Q22:T22"/>
    <mergeCell ref="D62:G62"/>
    <mergeCell ref="Q62:T62"/>
    <mergeCell ref="D71:G71"/>
    <mergeCell ref="Q71:T71"/>
    <mergeCell ref="C1:H1"/>
    <mergeCell ref="P1:U1"/>
    <mergeCell ref="D4:G4"/>
    <mergeCell ref="Q4:T4"/>
    <mergeCell ref="D13:G13"/>
    <mergeCell ref="Q13:T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87"/>
  <sheetViews>
    <sheetView workbookViewId="0"/>
  </sheetViews>
  <sheetFormatPr defaultColWidth="12.5703125" defaultRowHeight="15.75" customHeight="1" x14ac:dyDescent="0.2"/>
  <sheetData>
    <row r="1" spans="1:29" ht="15.75" customHeight="1" x14ac:dyDescent="0.25">
      <c r="C1" s="10" t="s">
        <v>12</v>
      </c>
      <c r="D1" s="9"/>
      <c r="E1" s="9"/>
      <c r="F1" s="9"/>
      <c r="G1" s="9"/>
      <c r="H1" s="9"/>
      <c r="P1" s="10" t="s">
        <v>13</v>
      </c>
      <c r="Q1" s="9"/>
      <c r="R1" s="9"/>
      <c r="S1" s="9"/>
      <c r="T1" s="9"/>
      <c r="U1" s="9"/>
    </row>
    <row r="4" spans="1:29" ht="15.75" customHeight="1" x14ac:dyDescent="0.25">
      <c r="D4" s="11" t="s">
        <v>14</v>
      </c>
      <c r="E4" s="9"/>
      <c r="F4" s="9"/>
      <c r="G4" s="9"/>
      <c r="Q4" s="11" t="s">
        <v>14</v>
      </c>
      <c r="R4" s="9"/>
      <c r="S4" s="9"/>
      <c r="T4" s="9"/>
    </row>
    <row r="5" spans="1:29" x14ac:dyDescent="0.2">
      <c r="B5" s="1">
        <v>1</v>
      </c>
      <c r="C5" s="1">
        <v>2</v>
      </c>
      <c r="D5" s="1">
        <v>4</v>
      </c>
      <c r="E5" s="1">
        <v>8</v>
      </c>
      <c r="F5" s="1">
        <v>16</v>
      </c>
      <c r="G5" s="1">
        <v>32</v>
      </c>
      <c r="H5" s="1">
        <v>64</v>
      </c>
      <c r="I5" s="1">
        <v>128</v>
      </c>
      <c r="J5" s="1">
        <v>256</v>
      </c>
      <c r="K5" s="1">
        <v>512</v>
      </c>
      <c r="L5" s="1">
        <v>1024</v>
      </c>
      <c r="M5" s="1"/>
      <c r="O5" s="1">
        <v>1</v>
      </c>
      <c r="P5" s="1">
        <v>2</v>
      </c>
      <c r="Q5" s="1">
        <v>4</v>
      </c>
      <c r="R5" s="1">
        <v>8</v>
      </c>
      <c r="S5" s="1">
        <v>16</v>
      </c>
      <c r="T5" s="1">
        <v>32</v>
      </c>
      <c r="U5" s="1">
        <v>64</v>
      </c>
      <c r="V5" s="1">
        <v>128</v>
      </c>
      <c r="W5" s="1">
        <v>256</v>
      </c>
      <c r="X5" s="1">
        <v>512</v>
      </c>
      <c r="Y5" s="1">
        <v>1024</v>
      </c>
      <c r="Z5" s="1">
        <v>2048</v>
      </c>
      <c r="AA5" s="1">
        <v>4096</v>
      </c>
      <c r="AB5" s="1">
        <v>8192</v>
      </c>
      <c r="AC5" s="1">
        <v>16384</v>
      </c>
    </row>
    <row r="6" spans="1:29" x14ac:dyDescent="0.2">
      <c r="A6" s="1">
        <v>1</v>
      </c>
      <c r="B6" s="6">
        <v>765.69517699999994</v>
      </c>
      <c r="N6" s="1">
        <v>8</v>
      </c>
      <c r="V6" s="6"/>
      <c r="W6" s="6"/>
      <c r="Z6" s="6"/>
    </row>
    <row r="7" spans="1:29" x14ac:dyDescent="0.2">
      <c r="A7" s="1">
        <v>2</v>
      </c>
      <c r="B7" s="1">
        <v>636.11098100000004</v>
      </c>
      <c r="N7" s="1">
        <v>16</v>
      </c>
    </row>
    <row r="8" spans="1:29" x14ac:dyDescent="0.2">
      <c r="A8" s="1">
        <v>4</v>
      </c>
      <c r="M8" s="1"/>
      <c r="N8" s="1">
        <v>32</v>
      </c>
      <c r="O8" s="1">
        <v>144.50564499999999</v>
      </c>
      <c r="V8" s="1">
        <v>1.421011</v>
      </c>
      <c r="Y8" s="1">
        <v>0.77702300000000002</v>
      </c>
      <c r="Z8" s="1">
        <v>0.192137</v>
      </c>
    </row>
    <row r="9" spans="1:29" x14ac:dyDescent="0.2">
      <c r="A9" s="1">
        <v>8</v>
      </c>
    </row>
    <row r="10" spans="1:29" x14ac:dyDescent="0.2">
      <c r="A10" s="1">
        <v>16</v>
      </c>
    </row>
    <row r="11" spans="1:29" x14ac:dyDescent="0.2">
      <c r="A11" s="1">
        <v>32</v>
      </c>
      <c r="B11" s="6">
        <v>36.745863999999997</v>
      </c>
      <c r="L11" s="1">
        <v>7.126296</v>
      </c>
      <c r="M11" s="2">
        <f>B6/L11</f>
        <v>107.44644581140048</v>
      </c>
      <c r="V11" s="2">
        <f>$B$6/V8</f>
        <v>538.8383179299808</v>
      </c>
      <c r="Y11" s="2">
        <f>$B$6/Y8</f>
        <v>985.42150875842788</v>
      </c>
    </row>
    <row r="13" spans="1:29" ht="15.75" customHeight="1" x14ac:dyDescent="0.25">
      <c r="D13" s="11" t="s">
        <v>15</v>
      </c>
      <c r="E13" s="9"/>
      <c r="F13" s="9"/>
      <c r="G13" s="9"/>
      <c r="Q13" s="11" t="s">
        <v>16</v>
      </c>
      <c r="R13" s="9"/>
      <c r="S13" s="9"/>
      <c r="T13" s="9"/>
    </row>
    <row r="14" spans="1:29" x14ac:dyDescent="0.2">
      <c r="B14" s="1">
        <v>1</v>
      </c>
      <c r="C14" s="1">
        <v>2</v>
      </c>
      <c r="D14" s="1">
        <v>4</v>
      </c>
      <c r="E14" s="1">
        <v>8</v>
      </c>
      <c r="F14" s="1">
        <v>16</v>
      </c>
      <c r="G14" s="1">
        <v>32</v>
      </c>
      <c r="H14" s="1">
        <v>64</v>
      </c>
      <c r="I14" s="1">
        <v>128</v>
      </c>
      <c r="J14" s="1">
        <v>256</v>
      </c>
      <c r="K14" s="1">
        <v>512</v>
      </c>
      <c r="L14" s="1">
        <v>1024</v>
      </c>
      <c r="M14" s="1"/>
      <c r="O14" s="1">
        <v>1</v>
      </c>
      <c r="P14" s="1">
        <v>2</v>
      </c>
      <c r="Q14" s="1">
        <v>4</v>
      </c>
      <c r="R14" s="1">
        <v>8</v>
      </c>
      <c r="S14" s="1">
        <v>16</v>
      </c>
      <c r="T14" s="1">
        <v>32</v>
      </c>
      <c r="U14" s="1">
        <v>64</v>
      </c>
      <c r="V14" s="1">
        <v>128</v>
      </c>
      <c r="W14" s="1">
        <v>256</v>
      </c>
      <c r="X14" s="1">
        <v>512</v>
      </c>
      <c r="Y14" s="4">
        <v>1024</v>
      </c>
      <c r="Z14" s="5">
        <v>2048</v>
      </c>
    </row>
    <row r="15" spans="1:29" x14ac:dyDescent="0.2">
      <c r="A15" s="1">
        <v>1</v>
      </c>
      <c r="B15" s="1">
        <v>96.188564999999997</v>
      </c>
      <c r="N15" s="1">
        <v>8</v>
      </c>
    </row>
    <row r="16" spans="1:29" x14ac:dyDescent="0.2">
      <c r="A16" s="1">
        <v>2</v>
      </c>
      <c r="B16" s="1">
        <v>80.240722000000005</v>
      </c>
      <c r="N16" s="1">
        <v>16</v>
      </c>
    </row>
    <row r="17" spans="1:25" x14ac:dyDescent="0.2">
      <c r="A17" s="1">
        <v>4</v>
      </c>
      <c r="M17" s="1"/>
      <c r="N17" s="1">
        <v>32</v>
      </c>
      <c r="O17" s="1">
        <v>97.041122999999999</v>
      </c>
      <c r="V17" s="1">
        <v>96.088263999999995</v>
      </c>
      <c r="Y17" s="1">
        <v>96.940821999999997</v>
      </c>
    </row>
    <row r="18" spans="1:25" x14ac:dyDescent="0.2">
      <c r="A18" s="1">
        <v>8</v>
      </c>
    </row>
    <row r="19" spans="1:25" x14ac:dyDescent="0.2">
      <c r="A19" s="1">
        <v>16</v>
      </c>
    </row>
    <row r="20" spans="1:25" x14ac:dyDescent="0.2">
      <c r="A20" s="1">
        <v>32</v>
      </c>
      <c r="B20" s="1">
        <v>86.810430999999994</v>
      </c>
      <c r="L20" s="1">
        <v>85.757271000000003</v>
      </c>
    </row>
    <row r="22" spans="1:25" ht="15.75" customHeight="1" x14ac:dyDescent="0.25">
      <c r="D22" s="11"/>
      <c r="E22" s="9"/>
      <c r="F22" s="9"/>
      <c r="G22" s="9"/>
      <c r="Q22" s="11"/>
      <c r="R22" s="9"/>
      <c r="S22" s="9"/>
      <c r="T22" s="9"/>
    </row>
    <row r="23" spans="1:25" x14ac:dyDescent="0.2">
      <c r="M23" s="1"/>
    </row>
    <row r="26" spans="1:25" x14ac:dyDescent="0.2">
      <c r="M26" s="1"/>
    </row>
    <row r="33" spans="4:20" ht="15.75" customHeight="1" x14ac:dyDescent="0.25">
      <c r="D33" s="11"/>
      <c r="E33" s="9"/>
      <c r="F33" s="9"/>
      <c r="G33" s="9"/>
      <c r="Q33" s="11"/>
      <c r="R33" s="9"/>
      <c r="S33" s="9"/>
      <c r="T33" s="9"/>
    </row>
    <row r="34" spans="4:20" x14ac:dyDescent="0.2">
      <c r="M34" s="1"/>
    </row>
    <row r="37" spans="4:20" ht="12.75" x14ac:dyDescent="0.2">
      <c r="M37" s="1"/>
    </row>
    <row r="42" spans="4:20" x14ac:dyDescent="0.25">
      <c r="D42" s="11"/>
      <c r="E42" s="9"/>
      <c r="F42" s="9"/>
      <c r="G42" s="9"/>
      <c r="Q42" s="11"/>
      <c r="R42" s="9"/>
      <c r="S42" s="9"/>
      <c r="T42" s="9"/>
    </row>
    <row r="43" spans="4:20" ht="12.75" x14ac:dyDescent="0.2">
      <c r="M43" s="1"/>
    </row>
    <row r="46" spans="4:20" ht="12.75" x14ac:dyDescent="0.2">
      <c r="M46" s="1"/>
    </row>
    <row r="51" spans="4:20" x14ac:dyDescent="0.25">
      <c r="D51" s="11"/>
      <c r="E51" s="9"/>
      <c r="F51" s="9"/>
      <c r="G51" s="9"/>
      <c r="Q51" s="11"/>
      <c r="R51" s="9"/>
      <c r="S51" s="9"/>
      <c r="T51" s="9"/>
    </row>
    <row r="52" spans="4:20" ht="12.75" x14ac:dyDescent="0.2">
      <c r="M52" s="1"/>
    </row>
    <row r="55" spans="4:20" ht="12.75" x14ac:dyDescent="0.2">
      <c r="M55" s="1"/>
    </row>
    <row r="62" spans="4:20" x14ac:dyDescent="0.25">
      <c r="D62" s="11"/>
      <c r="E62" s="9"/>
      <c r="F62" s="9"/>
      <c r="G62" s="9"/>
      <c r="Q62" s="11"/>
      <c r="R62" s="9"/>
      <c r="S62" s="9"/>
      <c r="T62" s="9"/>
    </row>
    <row r="63" spans="4:20" ht="12.75" x14ac:dyDescent="0.2">
      <c r="M63" s="1"/>
    </row>
    <row r="71" spans="4:20" x14ac:dyDescent="0.25">
      <c r="D71" s="11"/>
      <c r="E71" s="9"/>
      <c r="F71" s="9"/>
      <c r="G71" s="9"/>
      <c r="Q71" s="11"/>
      <c r="R71" s="9"/>
      <c r="S71" s="9"/>
      <c r="T71" s="9"/>
    </row>
    <row r="72" spans="4:20" ht="12.75" x14ac:dyDescent="0.2">
      <c r="M72" s="1"/>
    </row>
    <row r="80" spans="4:20" x14ac:dyDescent="0.25">
      <c r="D80" s="11"/>
      <c r="E80" s="9"/>
      <c r="F80" s="9"/>
      <c r="G80" s="9"/>
      <c r="Q80" s="11"/>
      <c r="R80" s="9"/>
      <c r="S80" s="9"/>
      <c r="T80" s="9"/>
    </row>
    <row r="81" spans="1:13" ht="12.75" x14ac:dyDescent="0.2">
      <c r="M81" s="1"/>
    </row>
    <row r="82" spans="1:13" ht="12.75" x14ac:dyDescent="0.2">
      <c r="A82" s="1">
        <v>1</v>
      </c>
    </row>
    <row r="83" spans="1:13" ht="12.75" x14ac:dyDescent="0.2">
      <c r="A83" s="1">
        <v>2</v>
      </c>
    </row>
    <row r="84" spans="1:13" ht="12.75" x14ac:dyDescent="0.2">
      <c r="A84" s="1">
        <v>4</v>
      </c>
    </row>
    <row r="85" spans="1:13" ht="12.75" x14ac:dyDescent="0.2">
      <c r="A85" s="1">
        <v>8</v>
      </c>
    </row>
    <row r="86" spans="1:13" ht="12.75" x14ac:dyDescent="0.2">
      <c r="A86" s="1">
        <v>16</v>
      </c>
    </row>
    <row r="87" spans="1:13" ht="12.75" x14ac:dyDescent="0.2">
      <c r="A87" s="1">
        <v>32</v>
      </c>
    </row>
  </sheetData>
  <mergeCells count="20">
    <mergeCell ref="D80:G80"/>
    <mergeCell ref="Q80:T80"/>
    <mergeCell ref="D22:G22"/>
    <mergeCell ref="D33:G33"/>
    <mergeCell ref="Q33:T33"/>
    <mergeCell ref="D42:G42"/>
    <mergeCell ref="Q42:T42"/>
    <mergeCell ref="D51:G51"/>
    <mergeCell ref="Q51:T51"/>
    <mergeCell ref="Q22:T22"/>
    <mergeCell ref="D62:G62"/>
    <mergeCell ref="Q62:T62"/>
    <mergeCell ref="D71:G71"/>
    <mergeCell ref="Q71:T71"/>
    <mergeCell ref="C1:H1"/>
    <mergeCell ref="P1:U1"/>
    <mergeCell ref="D4:G4"/>
    <mergeCell ref="Q4:T4"/>
    <mergeCell ref="D13:G13"/>
    <mergeCell ref="Q13:T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31"/>
  <sheetViews>
    <sheetView workbookViewId="0"/>
  </sheetViews>
  <sheetFormatPr defaultColWidth="12.5703125" defaultRowHeight="15.75" customHeight="1" x14ac:dyDescent="0.2"/>
  <sheetData>
    <row r="1" spans="1:26" ht="15.75" customHeight="1" x14ac:dyDescent="0.25">
      <c r="C1" s="10" t="s">
        <v>12</v>
      </c>
      <c r="D1" s="9"/>
      <c r="E1" s="9"/>
      <c r="F1" s="9"/>
      <c r="G1" s="9"/>
      <c r="H1" s="9"/>
      <c r="P1" s="10" t="s">
        <v>13</v>
      </c>
      <c r="Q1" s="9"/>
      <c r="R1" s="9"/>
      <c r="S1" s="9"/>
      <c r="T1" s="9"/>
      <c r="U1" s="9"/>
    </row>
    <row r="4" spans="1:26" ht="15.75" customHeight="1" x14ac:dyDescent="0.25">
      <c r="D4" s="11" t="s">
        <v>14</v>
      </c>
      <c r="E4" s="9"/>
      <c r="F4" s="9"/>
      <c r="G4" s="9"/>
      <c r="Q4" s="11" t="s">
        <v>14</v>
      </c>
      <c r="R4" s="9"/>
      <c r="S4" s="9"/>
      <c r="T4" s="9"/>
    </row>
    <row r="5" spans="1:26" x14ac:dyDescent="0.2">
      <c r="B5" s="1">
        <v>1</v>
      </c>
      <c r="C5" s="1">
        <v>2</v>
      </c>
      <c r="D5" s="1">
        <v>4</v>
      </c>
      <c r="E5" s="1">
        <v>8</v>
      </c>
      <c r="F5" s="1">
        <v>16</v>
      </c>
      <c r="G5" s="1">
        <v>32</v>
      </c>
      <c r="H5" s="1">
        <v>64</v>
      </c>
      <c r="I5" s="1">
        <v>128</v>
      </c>
      <c r="J5" s="1">
        <v>256</v>
      </c>
      <c r="K5" s="1">
        <v>512</v>
      </c>
      <c r="L5" s="1">
        <v>1024</v>
      </c>
      <c r="M5" s="1"/>
      <c r="O5" s="1">
        <v>1</v>
      </c>
      <c r="P5" s="1">
        <v>2</v>
      </c>
      <c r="Q5" s="1">
        <v>4</v>
      </c>
      <c r="R5" s="1">
        <v>8</v>
      </c>
      <c r="S5" s="1">
        <v>16</v>
      </c>
      <c r="T5" s="1">
        <v>32</v>
      </c>
      <c r="U5" s="1">
        <v>64</v>
      </c>
      <c r="V5" s="1">
        <v>128</v>
      </c>
      <c r="W5" s="1">
        <v>256</v>
      </c>
      <c r="X5" s="1">
        <v>512</v>
      </c>
      <c r="Y5" s="1">
        <v>1024</v>
      </c>
      <c r="Z5" s="1">
        <v>2048</v>
      </c>
    </row>
    <row r="6" spans="1:26" x14ac:dyDescent="0.2">
      <c r="A6" s="1">
        <v>1</v>
      </c>
      <c r="B6" s="2">
        <f t="shared" ref="B6:K6" si="0">$L$6*($L$5/B5)</f>
        <v>368640</v>
      </c>
      <c r="C6" s="2">
        <f t="shared" si="0"/>
        <v>184320</v>
      </c>
      <c r="D6" s="2">
        <f t="shared" si="0"/>
        <v>92160</v>
      </c>
      <c r="E6" s="2">
        <f t="shared" si="0"/>
        <v>46080</v>
      </c>
      <c r="F6" s="2">
        <f t="shared" si="0"/>
        <v>23040</v>
      </c>
      <c r="G6" s="2">
        <f t="shared" si="0"/>
        <v>11520</v>
      </c>
      <c r="H6" s="2">
        <f t="shared" si="0"/>
        <v>5760</v>
      </c>
      <c r="I6" s="2">
        <f t="shared" si="0"/>
        <v>2880</v>
      </c>
      <c r="J6" s="2">
        <f t="shared" si="0"/>
        <v>1440</v>
      </c>
      <c r="K6" s="2">
        <f t="shared" si="0"/>
        <v>720</v>
      </c>
      <c r="L6" s="6">
        <v>360</v>
      </c>
      <c r="N6" s="1">
        <v>8</v>
      </c>
      <c r="V6" s="6"/>
      <c r="W6" s="6"/>
      <c r="Z6" s="6"/>
    </row>
    <row r="7" spans="1:26" x14ac:dyDescent="0.2">
      <c r="A7" s="1">
        <v>2</v>
      </c>
      <c r="B7" s="2">
        <f>B6/$A$7</f>
        <v>184320</v>
      </c>
      <c r="N7" s="1">
        <v>16</v>
      </c>
    </row>
    <row r="8" spans="1:26" x14ac:dyDescent="0.2">
      <c r="A8" s="1">
        <v>4</v>
      </c>
      <c r="B8" s="2">
        <f>B7/$A$8</f>
        <v>46080</v>
      </c>
      <c r="M8" s="1"/>
      <c r="N8" s="1">
        <v>32</v>
      </c>
    </row>
    <row r="9" spans="1:26" x14ac:dyDescent="0.2">
      <c r="A9" s="1">
        <v>8</v>
      </c>
      <c r="B9" s="2">
        <f>B8/$A$9</f>
        <v>5760</v>
      </c>
    </row>
    <row r="10" spans="1:26" x14ac:dyDescent="0.2">
      <c r="A10" s="1">
        <v>16</v>
      </c>
      <c r="B10" s="2">
        <f>B9/$A$10</f>
        <v>360</v>
      </c>
    </row>
    <row r="11" spans="1:26" x14ac:dyDescent="0.2">
      <c r="A11" s="1">
        <v>32</v>
      </c>
      <c r="B11" s="2">
        <f>B10/$A$11</f>
        <v>11.25</v>
      </c>
      <c r="L11" s="6">
        <v>259</v>
      </c>
      <c r="M11" s="2">
        <f>B6/L11</f>
        <v>1423.3204633204634</v>
      </c>
      <c r="O11" s="2" t="e">
        <f t="shared" ref="O11:Z11" si="1">$B$6/O6</f>
        <v>#DIV/0!</v>
      </c>
      <c r="P11" s="2" t="e">
        <f t="shared" si="1"/>
        <v>#DIV/0!</v>
      </c>
      <c r="Q11" s="2" t="e">
        <f t="shared" si="1"/>
        <v>#DIV/0!</v>
      </c>
      <c r="R11" s="2" t="e">
        <f t="shared" si="1"/>
        <v>#DIV/0!</v>
      </c>
      <c r="S11" s="2" t="e">
        <f t="shared" si="1"/>
        <v>#DIV/0!</v>
      </c>
      <c r="T11" s="2" t="e">
        <f t="shared" si="1"/>
        <v>#DIV/0!</v>
      </c>
      <c r="U11" s="2" t="e">
        <f t="shared" si="1"/>
        <v>#DIV/0!</v>
      </c>
      <c r="V11" s="2" t="e">
        <f t="shared" si="1"/>
        <v>#DIV/0!</v>
      </c>
      <c r="W11" s="2" t="e">
        <f t="shared" si="1"/>
        <v>#DIV/0!</v>
      </c>
      <c r="X11" s="2" t="e">
        <f t="shared" si="1"/>
        <v>#DIV/0!</v>
      </c>
      <c r="Y11" s="2" t="e">
        <f t="shared" si="1"/>
        <v>#DIV/0!</v>
      </c>
      <c r="Z11" s="2" t="e">
        <f t="shared" si="1"/>
        <v>#DIV/0!</v>
      </c>
    </row>
    <row r="12" spans="1:26" x14ac:dyDescent="0.2">
      <c r="B12" s="2">
        <f t="shared" ref="B12:D12" si="2">C11*2</f>
        <v>0</v>
      </c>
      <c r="C12" s="2">
        <f t="shared" si="2"/>
        <v>0</v>
      </c>
      <c r="D12" s="2">
        <f t="shared" si="2"/>
        <v>0</v>
      </c>
      <c r="E12" s="2">
        <f>F12*2</f>
        <v>33152</v>
      </c>
      <c r="F12" s="2">
        <f t="shared" ref="F12:H12" si="3">2*G12</f>
        <v>16576</v>
      </c>
      <c r="G12" s="2">
        <f t="shared" si="3"/>
        <v>8288</v>
      </c>
      <c r="H12" s="2">
        <f t="shared" si="3"/>
        <v>4144</v>
      </c>
      <c r="I12" s="2">
        <f t="shared" ref="I12:J12" si="4">J12*2</f>
        <v>2072</v>
      </c>
      <c r="J12" s="2">
        <f t="shared" si="4"/>
        <v>1036</v>
      </c>
      <c r="K12" s="2">
        <f>L11*2</f>
        <v>518</v>
      </c>
    </row>
    <row r="13" spans="1:26" ht="15.75" customHeight="1" x14ac:dyDescent="0.25">
      <c r="D13" s="11" t="s">
        <v>15</v>
      </c>
      <c r="E13" s="9"/>
      <c r="F13" s="9"/>
      <c r="G13" s="9"/>
      <c r="Q13" s="11" t="s">
        <v>16</v>
      </c>
      <c r="R13" s="9"/>
      <c r="S13" s="9"/>
      <c r="T13" s="9"/>
    </row>
    <row r="14" spans="1:26" x14ac:dyDescent="0.2">
      <c r="B14" s="1">
        <v>1</v>
      </c>
      <c r="C14" s="1">
        <v>2</v>
      </c>
      <c r="D14" s="1">
        <v>4</v>
      </c>
      <c r="E14" s="1">
        <v>8</v>
      </c>
      <c r="F14" s="1">
        <v>16</v>
      </c>
      <c r="G14" s="1">
        <v>32</v>
      </c>
      <c r="H14" s="1">
        <v>64</v>
      </c>
      <c r="I14" s="1">
        <v>128</v>
      </c>
      <c r="J14" s="1">
        <v>256</v>
      </c>
      <c r="K14" s="1">
        <v>512</v>
      </c>
      <c r="L14" s="1">
        <v>1024</v>
      </c>
      <c r="M14" s="1"/>
      <c r="O14" s="1">
        <v>1</v>
      </c>
      <c r="P14" s="1">
        <v>2</v>
      </c>
      <c r="Q14" s="1">
        <v>4</v>
      </c>
      <c r="R14" s="1">
        <v>8</v>
      </c>
      <c r="S14" s="1">
        <v>16</v>
      </c>
      <c r="T14" s="1">
        <v>32</v>
      </c>
      <c r="U14" s="1">
        <v>64</v>
      </c>
      <c r="V14" s="1">
        <v>128</v>
      </c>
      <c r="W14" s="1">
        <v>256</v>
      </c>
      <c r="X14" s="1">
        <v>512</v>
      </c>
      <c r="Y14" s="4">
        <v>1024</v>
      </c>
      <c r="Z14" s="5">
        <v>2048</v>
      </c>
    </row>
    <row r="15" spans="1:26" x14ac:dyDescent="0.2">
      <c r="A15" s="1">
        <v>1</v>
      </c>
      <c r="L15" s="1">
        <v>95.737211000000002</v>
      </c>
      <c r="N15" s="1">
        <v>8</v>
      </c>
    </row>
    <row r="16" spans="1:26" x14ac:dyDescent="0.2">
      <c r="A16" s="1">
        <v>2</v>
      </c>
      <c r="N16" s="1">
        <v>16</v>
      </c>
    </row>
    <row r="17" spans="1:14" x14ac:dyDescent="0.2">
      <c r="A17" s="1">
        <v>4</v>
      </c>
      <c r="M17" s="1"/>
      <c r="N17" s="1">
        <v>32</v>
      </c>
    </row>
    <row r="18" spans="1:14" x14ac:dyDescent="0.2">
      <c r="A18" s="1">
        <v>8</v>
      </c>
    </row>
    <row r="19" spans="1:14" x14ac:dyDescent="0.2">
      <c r="A19" s="1">
        <v>16</v>
      </c>
      <c r="L19" s="1">
        <v>95.737211000000002</v>
      </c>
    </row>
    <row r="20" spans="1:14" x14ac:dyDescent="0.2">
      <c r="A20" s="1">
        <v>32</v>
      </c>
    </row>
    <row r="31" spans="1:14" x14ac:dyDescent="0.2">
      <c r="I31" s="1">
        <v>259</v>
      </c>
      <c r="J31" s="2">
        <f>I31*32</f>
        <v>8288</v>
      </c>
      <c r="K31" s="2">
        <f>J31*2</f>
        <v>16576</v>
      </c>
      <c r="L31" s="2">
        <f t="shared" ref="L31:M31" si="5">K31/60</f>
        <v>276.26666666666665</v>
      </c>
      <c r="M31" s="2">
        <f t="shared" si="5"/>
        <v>4.6044444444444439</v>
      </c>
    </row>
  </sheetData>
  <mergeCells count="6">
    <mergeCell ref="C1:H1"/>
    <mergeCell ref="P1:U1"/>
    <mergeCell ref="D4:G4"/>
    <mergeCell ref="Q4:T4"/>
    <mergeCell ref="D13:G13"/>
    <mergeCell ref="Q13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charts</vt:lpstr>
      <vt:lpstr>Synthetic</vt:lpstr>
      <vt:lpstr>covtype</vt:lpstr>
      <vt:lpstr>webspam</vt:lpstr>
      <vt:lpstr>rcv1</vt:lpstr>
      <vt:lpstr>news20</vt:lpstr>
      <vt:lpstr>kdd12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</cp:lastModifiedBy>
  <dcterms:modified xsi:type="dcterms:W3CDTF">2022-04-21T20:24:51Z</dcterms:modified>
</cp:coreProperties>
</file>